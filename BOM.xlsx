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Annie\code\hardware\ThermoBuzzer\"/>
    </mc:Choice>
  </mc:AlternateContent>
  <xr:revisionPtr revIDLastSave="0" documentId="13_ncr:1_{9CC7E687-A9E2-4C6C-810B-1A5740683F2E}" xr6:coauthVersionLast="47" xr6:coauthVersionMax="47" xr10:uidLastSave="{00000000-0000-0000-0000-000000000000}"/>
  <bookViews>
    <workbookView xWindow="11424" yWindow="0" windowWidth="11712" windowHeight="1233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1" l="1"/>
  <c r="F32" i="1"/>
  <c r="F26" i="1"/>
  <c r="F20" i="1"/>
  <c r="F21" i="1"/>
  <c r="F27" i="1"/>
  <c r="F19" i="1"/>
  <c r="F18" i="1"/>
</calcChain>
</file>

<file path=xl/sharedStrings.xml><?xml version="1.0" encoding="utf-8"?>
<sst xmlns="http://schemas.openxmlformats.org/spreadsheetml/2006/main" count="69" uniqueCount="65">
  <si>
    <t>BOM</t>
  </si>
  <si>
    <t>Button</t>
  </si>
  <si>
    <t>Resistor</t>
  </si>
  <si>
    <t>Capacitor</t>
  </si>
  <si>
    <t>Part Name</t>
  </si>
  <si>
    <t>Reference Designator</t>
  </si>
  <si>
    <t>Quantity</t>
  </si>
  <si>
    <t>Link</t>
  </si>
  <si>
    <t>Notes</t>
  </si>
  <si>
    <t>Price</t>
  </si>
  <si>
    <t>Temperature Sensor</t>
  </si>
  <si>
    <t>https://www.aliexpress.com/ssr/300000512/BundleDeals2?spm=a2g0o.productlist.main.12.4bad23b2W0Z283&amp;productIds=1005007345095808:12000040354473755&amp;pha_manifest=ssr&amp;_immersiveMode=true&amp;disableNav=YES&amp;sourceName=SEARCHProduct&amp;utparam-url=scene%3Asearch%7Cquery_from%3A%7Cx_object_id%3A1005007345095808%7C_p_origin_prod%3A1005006953448721&amp;pvid=fead97a0-7013-472f-8f48-f34087dd6ca8</t>
  </si>
  <si>
    <t>Active Buzzer</t>
  </si>
  <si>
    <t>https://www.aliexpress.com/w/wholesale-active-buzzer.html?g=y&amp;SearchText=active+buzzer&amp;sortType=total_tranpro_desc&amp;streamId=f49a6506-9f37-416c-8981-28da6815de72</t>
  </si>
  <si>
    <t>https://www.aliexpress.com/w/wholesale-button-electronics.html?g=y&amp;SearchText=button+electronics&amp;sortType=total_tranpro_desc&amp;streamId=0623d1a8-62de-4594-b83f-bdb82f242e6d</t>
  </si>
  <si>
    <t>https://www.aliexpress.com/w/wholesale-capacitor.html?g=y&amp;SearchText=capacitor&amp;sortType=total_tranpro_desc&amp;streamId=efa4c6f2-0693-4671-b526-70233a0d6560</t>
  </si>
  <si>
    <t>Arduino</t>
  </si>
  <si>
    <t>https://www.amazon.ca/ANALOG-DEVICES-TMP36-Temperature-Sensor/dp/B00JYQAIBM?source=ps-sl-shoppingads-lpcontext&amp;ref_=fplfs&amp;psc=1&amp;smid=AAEX2EKCSXB7D</t>
  </si>
  <si>
    <t>Type</t>
  </si>
  <si>
    <t>Battery</t>
  </si>
  <si>
    <t>Arduino Nano (type)</t>
  </si>
  <si>
    <t>https://www.aliexpress.com/item/1005004904865598.html?spm=a2g0o.productlist.main.2.44c36f379bcEWK&amp;algo_pvid=37a4732e-0e3b-49dc-90f7-42ef2dc8c721&amp;algo_exp_id=37a4732e-0e3b-49dc-90f7-42ef2dc8c721-23&amp;pdp_ext_f=%7B%22order%22%3A%2213720%22%2C%22eval%22%3A%221%22%2C%22fromPage%22%3A%22search%22%7D&amp;pdp_npi=6%40dis%21CAD%213.02%212.60%21%21%212.15%211.85%21%402101f70717742314163816448e5bdf%2112000030969396207%21sea%21CA%216218818596%21X%211%210%21n_tag%3A-29919%3Bd%3A26a99932%3Bm03_new_user%3A-29895&amp;curPageLogUid=BISAlr5fLDLJ&amp;utparam-url=scene%3Asearch%7Cquery_from%3A%7Cx_object_id%3A1005004904865598%7C_p_origin_prod%3A</t>
  </si>
  <si>
    <t>NTC MF11, AHT20+BMP280</t>
  </si>
  <si>
    <t>AHT20+BMP280 Temperature Humidity Air Pressure Module High-precision Digital Temperature Humidity and Air Pressure Sensor</t>
  </si>
  <si>
    <t>5V</t>
  </si>
  <si>
    <t>NA</t>
  </si>
  <si>
    <t>9v dc</t>
  </si>
  <si>
    <t>Battery socket</t>
  </si>
  <si>
    <t>https://www.amazon.ca/Duracell-Coppertop-Long-lasting-All-Purpose-Household/dp/B0014D0SL8/ref=asc_df_B0014D0SL8?mcid=c7225777934337b39c3f39a9df98d4c0&amp;tag=googleshopc0c-20&amp;linkCode=df0&amp;hvadid=706724917098&amp;hvpos=&amp;hvnetw=g&amp;hvrand=17738875034577000835&amp;hvpone=&amp;hvptwo=&amp;hvqmt=&amp;hvdev=c&amp;hvdvcmdl=&amp;hvlocint=&amp;hvlocphy=9000685&amp;hvtargid=pla-568057207376&amp;hvocijid=17738875034577000835-B0014D0SL8-&amp;hvexpln=0&amp;gad_source=4&amp;th=1</t>
  </si>
  <si>
    <t>Arduino pro mini</t>
  </si>
  <si>
    <t>1PCS Pro mini Atmega328 Pro Mini 328 Mini ATMEGA328P 3.3V 8MHz 5V 16Mhz for Arduino Compatible Nano CP2102 FT232RL</t>
  </si>
  <si>
    <t>Boost voltage regulator</t>
  </si>
  <si>
    <t>Mini 0.8V-5V to 3V 3.3V 5V Boost Voltage Regulate Board Low-Power-Consumption High-Efficiency DC-DC Step-up Converter Module</t>
  </si>
  <si>
    <t>Product name</t>
  </si>
  <si>
    <t>Product Description</t>
  </si>
  <si>
    <t>Amount</t>
  </si>
  <si>
    <t>Unit Price</t>
  </si>
  <si>
    <t>Total Price</t>
  </si>
  <si>
    <t>Arduino Pro Mini</t>
  </si>
  <si>
    <t> ATMEGA328P 3.3V 8MHz</t>
  </si>
  <si>
    <t>https://www.aliexpress.com/item/1005009384358010.html?spm=a2g0o.detail.0.0.3d69kxh4kxh4TT&amp;mp=1&amp;pdp_npi=6%40dis%21CAD%21CAD+12.34%21CAD+6.19%21%21CAD+6.19%21%21%21%402101e2b217772431183538792e7ffd%2112000048937356319%21ct%21CA%216218818596%21%211%210%21</t>
  </si>
  <si>
    <t>AA Battery</t>
  </si>
  <si>
    <t>14500 Battery Box With Pins 1AA 1.5V</t>
  </si>
  <si>
    <t>THT Battery Holder</t>
  </si>
  <si>
    <t>AHT20+BMP280</t>
  </si>
  <si>
    <t>https://www.aliexpress.com/item/1005005982427374.html?spm=a2g0o.detail.0.0.91dbOMYjOMYjR3&amp;mp=1&amp;sourceType=570&amp;pdp_npi=6%40dis%21CAD%21CAD+7.57%21CAD+4.59%21%21CAD+4.59%21%21%21%402101d6ff17773442520382830e94da%2112000035166631251%21ct%21CA%216218818596%21%211%210%21&amp;pdp_ext_f=%7B%22cart2PdpParams%22%3A%7B%22sourceType%22%3A%22570%22%2C%22cartSource%22%3A%22main%22%7D%7D</t>
  </si>
  <si>
    <t>Shipping Fee</t>
  </si>
  <si>
    <t>Scale up</t>
  </si>
  <si>
    <t>https://www.aliexpress.com/item/1005006167931077.html?spm=a2g0o.detail.0.0.4a7cjdtRjdtRpQ&amp;mp=1&amp;pdp_npi=6%40dis%21CAD%21CAD+3.96%21CAD+3.86%21%21CAD+3.86%21%21%21%402101d6ff17773444964128610e94da%2112000036084126229%21ct%21CA%216218818596%21%211%210%21</t>
  </si>
  <si>
    <t>0.8V-5V to 3V 3.3V 5V Boost Voltage Regulate</t>
  </si>
  <si>
    <t>Thermisor</t>
  </si>
  <si>
    <t>10PCS NTC Thermistor MF52 NTC-MF52AT</t>
  </si>
  <si>
    <t>https://www.aliexpress.com/item/1005007016386078.html?spm=a2g0o.detail.0.0.177fzTz7zTz79e&amp;mp=1&amp;pdp_npi=6%40dis%21CAD%21CAD+7.07%21CAD+3.46%21%21CAD+3.46%21%21%21%402101d6ff17773445233621202e94da%2112000039082044667%21ct%21CA%216218818596%21%211%210%21</t>
  </si>
  <si>
    <t>10PCS Passive Buzzer Kits 12085</t>
  </si>
  <si>
    <t>Passive Buzzer</t>
  </si>
  <si>
    <t>https://www.aliexpress.com/item/1005007038458518.html?spm=a2g0o.detail.0.0.291d6UQD6UQDcn&amp;mp=1&amp;sourceType=570&amp;pdp_npi=6%40dis%21CAD%21CAD+7.56%21CAD+3.09%21%21CAD+3.09%21%21%21%402101d6ff17773446457813771e94da%2112000039180355191%21ct%21CA%216218818596%21%211%210%21&amp;pdp_ext_f=%7B%22cart2PdpParams%22%3A%7B%22sourceType%22%3A%22570%22%2C%22cartSource%22%3A%22main%22%7D%7D</t>
  </si>
  <si>
    <t>Buttons</t>
  </si>
  <si>
    <t>m3 screw</t>
  </si>
  <si>
    <t>resistor?</t>
  </si>
  <si>
    <t>head pins</t>
  </si>
  <si>
    <t>5 male 5 female</t>
  </si>
  <si>
    <t>https://www.aliexpress.com/item/1005007235591794.html?spm=a2g0o.cart.0.0.31e138dackOqlz&amp;mp=1&amp;sourceType=570&amp;pdp_npi=6%40dis%21CAD%21CAD+16.72%21CAD+5.19%21%21CAD+5.19%21%21%21%402103119c17773470443845760e9623%2112000039908542823%21ct%21CA%216218818596%21%211%210%21&amp;pdp_ext_f=%7B%22cart2PdpParams%22%3A%7B%22sourceType%22%3A%22570%22%2C%22cartSource%22%3A%22main%22%7D%7D</t>
  </si>
  <si>
    <t>6*6*10mm 20pics</t>
  </si>
  <si>
    <t>https://www.aliexpress.com/item/1005006046180384.html?spm=a2g0o.cart.0.0.31e138dackOqlz&amp;mp=1&amp;pdp_npi=6%40dis%21CAD%21CAD+2.29%21CAD+2.29%21%21CAD+2.29%21%21%21%402103119c17773470443845760e9623%2112000035472972539%21ct%21CA%216218818596%21%211%210%21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</si>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</sst>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;[Red]\-&quot;$&quot;#,##0.00"/>
  </numFmts>
  <fonts count="6">
    <font>
      <sz val="11"/>
      <color theme="1"/>
      <name val="Calibri"/>
      <family val="2"/>
      <scheme val="minor"/>
    </font>
    <font>
      <sz val="8"/>
      <color rgb="FF333333"/>
      <name val="Consolas"/>
      <family val="3"/>
    </font>
    <font>
      <u/>
      <sz val="11"/>
      <color theme="10"/>
      <name val="Calibri"/>
      <family val="2"/>
      <scheme val="minor"/>
    </font>
    <font>
      <b/>
      <sz val="9"/>
      <color rgb="FF000000"/>
      <name val="TT Norms Pro"/>
    </font>
    <font>
      <b/>
      <sz val="9"/>
      <color rgb="FF000000"/>
      <name val="Arial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0" applyFont="1" applyAlignment="1">
      <alignment vertical="center"/>
    </xf>
    <xf numFmtId="8" fontId="0" fillId="0" borderId="0" xfId="0" applyNumberFormat="1"/>
    <xf numFmtId="0" fontId="2" fillId="0" borderId="0" xfId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aliexpress.com/ssr/300000512/BundleDeals2?spm=a2g0o.productlist.main.12.4bad23b2W0Z283&amp;productIds=1005007345095808:12000040354473755&amp;pha_manifest=ssr&amp;_immersiveMode=true&amp;disableNav=YES&amp;sourceName=SEARCHProduct&amp;utparam-url=scene%3Asearch%7Cquery_from%3A%7Cx_object_id%3A1005007345095808%7C_p_origin_prod%3A1005006953448721&amp;pvid=fead97a0-7013-472f-8f48-f34087dd6ca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4"/>
  <sheetViews>
    <sheetView tabSelected="1" topLeftCell="A13" workbookViewId="0">
      <selection activeCell="E35" sqref="E35"/>
    </sheetView>
  </sheetViews>
  <sheetFormatPr defaultRowHeight="14.4"/>
  <cols>
    <col min="1" max="1" width="17.21875" customWidth="1"/>
    <col min="2" max="2" width="21.77734375" customWidth="1"/>
    <col min="3" max="3" width="8.5546875" customWidth="1"/>
    <col min="5" max="5" width="10.44140625" customWidth="1"/>
    <col min="6" max="6" width="9.6640625" customWidth="1"/>
  </cols>
  <sheetData>
    <row r="1" spans="1:9">
      <c r="A1" t="s">
        <v>0</v>
      </c>
      <c r="F1" s="1"/>
    </row>
    <row r="3" spans="1:9">
      <c r="A3" t="s">
        <v>4</v>
      </c>
      <c r="B3" t="s">
        <v>18</v>
      </c>
      <c r="C3" t="s">
        <v>5</v>
      </c>
      <c r="D3" t="s">
        <v>6</v>
      </c>
      <c r="E3" t="s">
        <v>9</v>
      </c>
      <c r="F3" t="s">
        <v>7</v>
      </c>
      <c r="G3" t="s">
        <v>9</v>
      </c>
      <c r="H3" t="s">
        <v>8</v>
      </c>
    </row>
    <row r="4" spans="1:9">
      <c r="A4" t="s">
        <v>10</v>
      </c>
      <c r="B4" s="1" t="s">
        <v>22</v>
      </c>
      <c r="D4">
        <v>1</v>
      </c>
      <c r="E4">
        <v>2.19</v>
      </c>
      <c r="F4" s="4" t="s">
        <v>23</v>
      </c>
      <c r="H4" s="3" t="s">
        <v>11</v>
      </c>
      <c r="I4" t="s">
        <v>17</v>
      </c>
    </row>
    <row r="5" spans="1:9">
      <c r="A5" t="s">
        <v>12</v>
      </c>
      <c r="B5" t="s">
        <v>24</v>
      </c>
      <c r="D5">
        <v>1</v>
      </c>
      <c r="E5">
        <v>3.99</v>
      </c>
      <c r="F5" t="s">
        <v>13</v>
      </c>
    </row>
    <row r="6" spans="1:9">
      <c r="A6" t="s">
        <v>1</v>
      </c>
      <c r="D6">
        <v>1</v>
      </c>
      <c r="E6" t="s">
        <v>25</v>
      </c>
      <c r="F6" t="s">
        <v>14</v>
      </c>
    </row>
    <row r="7" spans="1:9">
      <c r="A7" t="s">
        <v>2</v>
      </c>
    </row>
    <row r="8" spans="1:9">
      <c r="A8" t="s">
        <v>3</v>
      </c>
      <c r="D8">
        <v>1</v>
      </c>
      <c r="F8" t="s">
        <v>15</v>
      </c>
    </row>
    <row r="9" spans="1:9">
      <c r="A9" t="s">
        <v>16</v>
      </c>
      <c r="B9" t="s">
        <v>20</v>
      </c>
      <c r="D9">
        <v>1</v>
      </c>
      <c r="E9" s="2">
        <v>2.6</v>
      </c>
      <c r="F9" t="s">
        <v>21</v>
      </c>
    </row>
    <row r="10" spans="1:9">
      <c r="B10" t="s">
        <v>29</v>
      </c>
      <c r="E10" s="2">
        <v>6.19</v>
      </c>
      <c r="F10" s="5" t="s">
        <v>30</v>
      </c>
    </row>
    <row r="12" spans="1:9">
      <c r="A12" t="s">
        <v>19</v>
      </c>
      <c r="B12" t="s">
        <v>26</v>
      </c>
      <c r="E12">
        <v>9.98</v>
      </c>
      <c r="F12" t="s">
        <v>28</v>
      </c>
    </row>
    <row r="13" spans="1:9">
      <c r="A13" t="s">
        <v>27</v>
      </c>
    </row>
    <row r="15" spans="1:9">
      <c r="A15" t="s">
        <v>31</v>
      </c>
      <c r="E15">
        <v>3.3</v>
      </c>
      <c r="F15" s="5" t="s">
        <v>32</v>
      </c>
    </row>
    <row r="17" spans="1:7">
      <c r="A17" s="6" t="s">
        <v>33</v>
      </c>
      <c r="B17" s="6" t="s">
        <v>34</v>
      </c>
      <c r="C17" s="6" t="s">
        <v>35</v>
      </c>
      <c r="D17" s="6" t="s">
        <v>36</v>
      </c>
      <c r="E17" s="6" t="s">
        <v>46</v>
      </c>
      <c r="F17" s="6" t="s">
        <v>37</v>
      </c>
      <c r="G17" s="6" t="s">
        <v>7</v>
      </c>
    </row>
    <row r="18" spans="1:7">
      <c r="A18" t="s">
        <v>38</v>
      </c>
      <c r="B18" t="s">
        <v>39</v>
      </c>
      <c r="C18">
        <v>1</v>
      </c>
      <c r="D18" s="2">
        <v>6.14</v>
      </c>
      <c r="F18" s="2">
        <f>C18*D18</f>
        <v>6.14</v>
      </c>
      <c r="G18" t="s">
        <v>40</v>
      </c>
    </row>
    <row r="19" spans="1:7">
      <c r="A19" t="s">
        <v>10</v>
      </c>
      <c r="B19" t="s">
        <v>44</v>
      </c>
      <c r="C19">
        <v>1</v>
      </c>
      <c r="D19" s="2">
        <v>4.59</v>
      </c>
      <c r="F19" s="2">
        <f>C19*D19</f>
        <v>4.59</v>
      </c>
      <c r="G19" t="s">
        <v>45</v>
      </c>
    </row>
    <row r="20" spans="1:7">
      <c r="A20" t="s">
        <v>50</v>
      </c>
      <c r="B20" t="s">
        <v>51</v>
      </c>
      <c r="C20">
        <v>1</v>
      </c>
      <c r="D20">
        <v>3.46</v>
      </c>
      <c r="F20" s="2">
        <f t="shared" ref="F20:F27" si="0">C20*D20</f>
        <v>3.46</v>
      </c>
      <c r="G20" t="s">
        <v>52</v>
      </c>
    </row>
    <row r="21" spans="1:7">
      <c r="A21" t="s">
        <v>54</v>
      </c>
      <c r="B21" t="s">
        <v>53</v>
      </c>
      <c r="C21">
        <v>1</v>
      </c>
      <c r="D21">
        <v>3.09</v>
      </c>
      <c r="F21" s="2">
        <f t="shared" si="0"/>
        <v>3.09</v>
      </c>
      <c r="G21" t="s">
        <v>55</v>
      </c>
    </row>
    <row r="22" spans="1:7">
      <c r="A22" t="s">
        <v>56</v>
      </c>
      <c r="B22" t="s">
        <v>62</v>
      </c>
      <c r="C22">
        <v>1</v>
      </c>
      <c r="D22">
        <v>2.29</v>
      </c>
      <c r="F22" s="2">
        <v>2.29</v>
      </c>
      <c r="G22" t="s">
        <v>63</v>
      </c>
    </row>
    <row r="23" spans="1:7">
      <c r="F23" s="2"/>
    </row>
    <row r="24" spans="1:7">
      <c r="F24" s="2"/>
    </row>
    <row r="25" spans="1:7">
      <c r="A25" t="s">
        <v>41</v>
      </c>
      <c r="C25">
        <v>1</v>
      </c>
      <c r="D25" t="s">
        <v>25</v>
      </c>
      <c r="F25" s="2"/>
    </row>
    <row r="26" spans="1:7">
      <c r="A26" t="s">
        <v>43</v>
      </c>
      <c r="B26" t="s">
        <v>42</v>
      </c>
      <c r="C26">
        <v>1</v>
      </c>
      <c r="D26">
        <v>0.33</v>
      </c>
      <c r="E26">
        <v>7.23</v>
      </c>
      <c r="F26" s="2">
        <f>C26*D26+E26</f>
        <v>7.5600000000000005</v>
      </c>
    </row>
    <row r="27" spans="1:7">
      <c r="A27" t="s">
        <v>47</v>
      </c>
      <c r="B27" t="s">
        <v>49</v>
      </c>
      <c r="C27">
        <v>1</v>
      </c>
      <c r="D27">
        <v>3.86</v>
      </c>
      <c r="F27" s="2">
        <f t="shared" si="0"/>
        <v>3.86</v>
      </c>
      <c r="G27" t="s">
        <v>48</v>
      </c>
    </row>
    <row r="30" spans="1:7">
      <c r="A30" t="s">
        <v>57</v>
      </c>
    </row>
    <row r="31" spans="1:7">
      <c r="A31" t="s">
        <v>58</v>
      </c>
    </row>
    <row r="32" spans="1:7">
      <c r="A32" t="s">
        <v>59</v>
      </c>
      <c r="B32" t="s">
        <v>60</v>
      </c>
      <c r="C32">
        <v>1</v>
      </c>
      <c r="D32">
        <v>5.19</v>
      </c>
      <c r="F32">
        <f>D32</f>
        <v>5.19</v>
      </c>
      <c r="G32" t="s">
        <v>61</v>
      </c>
    </row>
    <row r="34" spans="1:6">
      <c r="A34" t="s">
        <v>64</v>
      </c>
      <c r="F34" s="2">
        <f>SUM(F18:F32)</f>
        <v>36.18</v>
      </c>
    </row>
  </sheetData>
  <hyperlinks>
    <hyperlink ref="H4" r:id="rId1" display="https://www.aliexpress.com/ssr/300000512/BundleDeals2?spm=a2g0o.productlist.main.12.4bad23b2W0Z283&amp;productIds=1005007345095808:12000040354473755&amp;pha_manifest=ssr&amp;_immersiveMode=true&amp;disableNav=YES&amp;sourceName=SEARCHProduct&amp;utparam-url=scene%3Asearch%7Cquery_from%3A%7Cx_object_id%3A1005007345095808%7C_p_origin_prod%3A1005006953448721&amp;pvid=fead97a0-7013-472f-8f48-f34087dd6ca8" xr:uid="{8188D1EC-FE01-445E-8168-1909B737FBEE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 L</dc:creator>
  <cp:lastModifiedBy>ANNIE LIANG</cp:lastModifiedBy>
  <dcterms:created xsi:type="dcterms:W3CDTF">2015-06-05T18:17:20Z</dcterms:created>
  <dcterms:modified xsi:type="dcterms:W3CDTF">2026-04-28T03:33:40Z</dcterms:modified>
</cp:coreProperties>
</file>
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nnie\code\hardware\ThermoBuzzer\docs\"/>
    </mc:Choice>
  </mc:AlternateContent>
  <xr:revisionPtr revIDLastSave="0" documentId="13_ncr:1_{3B2C7DEF-01F7-4C8B-869A-79BDB6DA1FE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43" i="1"/>
  <c r="F41" i="1"/>
  <c r="F46" i="1"/>
  <c r="F44" i="1"/>
  <c r="F38" i="1"/>
  <c r="F39" i="1"/>
  <c r="F28" i="1"/>
  <c r="F29" i="1"/>
  <c r="F30" i="1"/>
  <c r="F32" i="1"/>
  <c r="F33" i="1"/>
  <c r="F26" i="1"/>
  <c r="F20" i="1"/>
  <c r="F21" i="1"/>
  <c r="F27" i="1"/>
  <c r="F19" i="1"/>
  <c r="F18" i="1"/>
  <c r="F35" i="1" l="1"/>
  <c r="F49" i="1" s="1"/>
</calcChain>
</file>

<file path=xl/sharedStrings.xml><?xml version="1.0" encoding="utf-8"?>
<sst xmlns="http://schemas.openxmlformats.org/spreadsheetml/2006/main" count="99" uniqueCount="74">
  <si>
    <t>BOM</t>
  </si>
  <si>
    <t>Button</t>
  </si>
  <si>
    <t>Resistor</t>
  </si>
  <si>
    <t>Capacitor</t>
  </si>
  <si>
    <t>Part Name</t>
  </si>
  <si>
    <t>Reference Designator</t>
  </si>
  <si>
    <t>Quantity</t>
  </si>
  <si>
    <t>Link</t>
  </si>
  <si>
    <t>Notes</t>
  </si>
  <si>
    <t>Price</t>
  </si>
  <si>
    <t>Temperature Sensor</t>
  </si>
  <si>
    <t>https://www.aliexpress.com/ssr/300000512/BundleDeals2?spm=a2g0o.productlist.main.12.4bad23b2W0Z283&amp;productIds=1005007345095808:12000040354473755&amp;pha_manifest=ssr&amp;_immersiveMode=true&amp;disableNav=YES&amp;sourceName=SEARCHProduct&amp;utparam-url=scene%3Asearch%7Cquery_from%3A%7Cx_object_id%3A1005007345095808%7C_p_origin_prod%3A1005006953448721&amp;pvid=fead97a0-7013-472f-8f48-f34087dd6ca8</t>
  </si>
  <si>
    <t>Active Buzzer</t>
  </si>
  <si>
    <t>https://www.aliexpress.com/w/wholesale-active-buzzer.html?g=y&amp;SearchText=active+buzzer&amp;sortType=total_tranpro_desc&amp;streamId=f49a6506-9f37-416c-8981-28da6815de72</t>
  </si>
  <si>
    <t>https://www.aliexpress.com/w/wholesale-button-electronics.html?g=y&amp;SearchText=button+electronics&amp;sortType=total_tranpro_desc&amp;streamId=0623d1a8-62de-4594-b83f-bdb82f242e6d</t>
  </si>
  <si>
    <t>https://www.aliexpress.com/w/wholesale-capacitor.html?g=y&amp;SearchText=capacitor&amp;sortType=total_tranpro_desc&amp;streamId=efa4c6f2-0693-4671-b526-70233a0d6560</t>
  </si>
  <si>
    <t>Arduino</t>
  </si>
  <si>
    <t>https://www.amazon.ca/ANALOG-DEVICES-TMP36-Temperature-Sensor/dp/B00JYQAIBM?source=ps-sl-shoppingads-lpcontext&amp;ref_=fplfs&amp;psc=1&amp;smid=AAEX2EKCSXB7D</t>
  </si>
  <si>
    <t>Type</t>
  </si>
  <si>
    <t>Battery</t>
  </si>
  <si>
    <t>Arduino Nano (type)</t>
  </si>
  <si>
    <t>https://www.aliexpress.com/item/1005004904865598.html?spm=a2g0o.productlist.main.2.44c36f379bcEWK&amp;algo_pvid=37a4732e-0e3b-49dc-90f7-42ef2dc8c721&amp;algo_exp_id=37a4732e-0e3b-49dc-90f7-42ef2dc8c721-23&amp;pdp_ext_f=%7B%22order%22%3A%2213720%22%2C%22eval%22%3A%221%22%2C%22fromPage%22%3A%22search%22%7D&amp;pdp_npi=6%40dis%21CAD%213.02%212.60%21%21%212.15%211.85%21%402101f70717742314163816448e5bdf%2112000030969396207%21sea%21CA%216218818596%21X%211%210%21n_tag%3A-29919%3Bd%3A26a99932%3Bm03_new_user%3A-29895&amp;curPageLogUid=BISAlr5fLDLJ&amp;utparam-url=scene%3Asearch%7Cquery_from%3A%7Cx_object_id%3A1005004904865598%7C_p_origin_prod%3A</t>
  </si>
  <si>
    <t>NTC MF11, AHT20+BMP280</t>
  </si>
  <si>
    <t>AHT20+BMP280 Temperature Humidity Air Pressure Module High-precision Digital Temperature Humidity and Air Pressure Sensor</t>
  </si>
  <si>
    <t>5V</t>
  </si>
  <si>
    <t>NA</t>
  </si>
  <si>
    <t>9v dc</t>
  </si>
  <si>
    <t>Battery socket</t>
  </si>
  <si>
    <t>https://www.amazon.ca/Duracell-Coppertop-Long-lasting-All-Purpose-Household/dp/B0014D0SL8/ref=asc_df_B0014D0SL8?mcid=c7225777934337b39c3f39a9df98d4c0&amp;tag=googleshopc0c-20&amp;linkCode=df0&amp;hvadid=706724917098&amp;hvpos=&amp;hvnetw=g&amp;hvrand=17738875034577000835&amp;hvpone=&amp;hvptwo=&amp;hvqmt=&amp;hvdev=c&amp;hvdvcmdl=&amp;hvlocint=&amp;hvlocphy=9000685&amp;hvtargid=pla-568057207376&amp;hvocijid=17738875034577000835-B0014D0SL8-&amp;hvexpln=0&amp;gad_source=4&amp;th=1</t>
  </si>
  <si>
    <t>Arduino pro mini</t>
  </si>
  <si>
    <t>1PCS Pro mini Atmega328 Pro Mini 328 Mini ATMEGA328P 3.3V 8MHz 5V 16Mhz for Arduino Compatible Nano CP2102 FT232RL</t>
  </si>
  <si>
    <t>Boost voltage regulator</t>
  </si>
  <si>
    <t>Mini 0.8V-5V to 3V 3.3V 5V Boost Voltage Regulate Board Low-Power-Consumption High-Efficiency DC-DC Step-up Converter Module</t>
  </si>
  <si>
    <t>Product name</t>
  </si>
  <si>
    <t>Product Description</t>
  </si>
  <si>
    <t>Amount</t>
  </si>
  <si>
    <t>Unit Price</t>
  </si>
  <si>
    <t>Total Price</t>
  </si>
  <si>
    <t>Arduino Pro Mini</t>
  </si>
  <si>
    <t> ATMEGA328P 3.3V 8MHz</t>
  </si>
  <si>
    <t>https://www.aliexpress.com/item/1005009384358010.html?spm=a2g0o.detail.0.0.3d69kxh4kxh4TT&amp;mp=1&amp;pdp_npi=6%40dis%21CAD%21CAD+12.34%21CAD+6.19%21%21CAD+6.19%21%21%21%402101e2b217772431183538792e7ffd%2112000048937356319%21ct%21CA%216218818596%21%211%210%21</t>
  </si>
  <si>
    <t>AA Battery</t>
  </si>
  <si>
    <t>14500 Battery Box With Pins 1AA 1.5V</t>
  </si>
  <si>
    <t>THT Battery Holder</t>
  </si>
  <si>
    <t>AHT20+BMP280</t>
  </si>
  <si>
    <t>https://www.aliexpress.com/item/1005005982427374.html?spm=a2g0o.detail.0.0.91dbOMYjOMYjR3&amp;mp=1&amp;sourceType=570&amp;pdp_npi=6%40dis%21CAD%21CAD+7.57%21CAD+4.59%21%21CAD+4.59%21%21%21%402101d6ff17773442520382830e94da%2112000035166631251%21ct%21CA%216218818596%21%211%210%21&amp;pdp_ext_f=%7B%22cart2PdpParams%22%3A%7B%22sourceType%22%3A%22570%22%2C%22cartSource%22%3A%22main%22%7D%7D</t>
  </si>
  <si>
    <t>Shipping Fee</t>
  </si>
  <si>
    <t>https://www.aliexpress.com/item/1005006167931077.html?spm=a2g0o.detail.0.0.4a7cjdtRjdtRpQ&amp;mp=1&amp;pdp_npi=6%40dis%21CAD%21CAD+3.96%21CAD+3.86%21%21CAD+3.86%21%21%21%402101d6ff17773444964128610e94da%2112000036084126229%21ct%21CA%216218818596%21%211%210%21</t>
  </si>
  <si>
    <t>0.8V-5V to 3V 3.3V 5V Boost Voltage Regulate</t>
  </si>
  <si>
    <t>Thermisor</t>
  </si>
  <si>
    <t>10PCS NTC Thermistor MF52 NTC-MF52AT</t>
  </si>
  <si>
    <t>https://www.aliexpress.com/item/1005007016386078.html?spm=a2g0o.detail.0.0.177fzTz7zTz79e&amp;mp=1&amp;pdp_npi=6%40dis%21CAD%21CAD+7.07%21CAD+3.46%21%21CAD+3.46%21%21%21%402101d6ff17773445233621202e94da%2112000039082044667%21ct%21CA%216218818596%21%211%210%21</t>
  </si>
  <si>
    <t>10PCS Passive Buzzer Kits 12085</t>
  </si>
  <si>
    <t>Passive Buzzer</t>
  </si>
  <si>
    <t>https://www.aliexpress.com/item/1005007038458518.html?spm=a2g0o.detail.0.0.291d6UQD6UQDcn&amp;mp=1&amp;sourceType=570&amp;pdp_npi=6%40dis%21CAD%21CAD+7.56%21CAD+3.09%21%21CAD+3.09%21%21%21%402101d6ff17773446457813771e94da%2112000039180355191%21ct%21CA%216218818596%21%211%210%21&amp;pdp_ext_f=%7B%22cart2PdpParams%22%3A%7B%22sourceType%22%3A%22570%22%2C%22cartSource%22%3A%22main%22%7D%7D</t>
  </si>
  <si>
    <t>Buttons</t>
  </si>
  <si>
    <t>head pins</t>
  </si>
  <si>
    <t>5 male 5 female</t>
  </si>
  <si>
    <t>https://www.aliexpress.com/item/1005007235591794.html?spm=a2g0o.cart.0.0.31e138dackOqlz&amp;mp=1&amp;sourceType=570&amp;pdp_npi=6%40dis%21CAD%21CAD+16.72%21CAD+5.19%21%21CAD+5.19%21%21%21%402103119c17773470443845760e9623%2112000039908542823%21ct%21CA%216218818596%21%211%210%21&amp;pdp_ext_f=%7B%22cart2PdpParams%22%3A%7B%22sourceType%22%3A%22570%22%2C%22cartSource%22%3A%22main%22%7D%7D</t>
  </si>
  <si>
    <t>6*6*10mm 20pics</t>
  </si>
  <si>
    <t>https://www.aliexpress.com/item/1005006046180384.html?spm=a2g0o.cart.0.0.31e138dackOqlz&amp;mp=1&amp;pdp_npi=6%40dis%21CAD%21CAD+2.29%21CAD+2.29%21%21CAD+2.29%21%21%21%402103119c17773470443845760e9623%2112000035472972539%21ct%21CA%216218818596%21%211%210%21</t>
  </si>
  <si>
    <t>Total</t>
  </si>
  <si>
    <t>Ultrasonic sensor</t>
  </si>
  <si>
    <t>HC-SR04 3.3-5VNew version</t>
  </si>
  <si>
    <t>https://www.aliexpress.com/item/1005005467178145.html?spm=a2g0o.productlist.main.2.48981450ohptjN&amp;algo_pvid=74ad5a5d-34d5-4956-b985-ef5a75be59a3&amp;algo_exp_id=74ad5a5d-34d5-4956-b985-ef5a75be59a3-1&amp;pdp_ext_f=%7B%22order%22%3A%2210615%22%2C%22spu_best_type%22%3A%22price%22%2C%22eval%22%3A%221%22%2C%22fromPage%22%3A%22search%22%7D&amp;pdp_npi=6%40dis%21CAD%212.71%212.71%21%21%211.94%211.94%21%40210328df17774096350383208e9e52%2112000033197296308%21sea%21CA%216218818596%21X%211%210%21n_tag%3A-29919%3Bd%3A26a99932%3Bm03_new_user%3A-29895&amp;curPageLogUid=PazbM33tgsR5&amp;utparam-url=scene%3Asearch%7Cquery_from%3A%7Cx_object_id%3A1005005467178145%7C_p_origin_prod%3A</t>
  </si>
  <si>
    <t>m3 self-tapping screw</t>
  </si>
  <si>
    <t>ZONSANTA M3x50pc 5mm</t>
  </si>
  <si>
    <t>https://www.aliexpress.com/item/4000982209705.html?spm=a2g0o.productlist.main.2.5e0a5049GO2c6k&amp;algo_pvid=d9d1041d-5b82-4d1d-adb8-2c50ae22e721&amp;algo_exp_id=d9d1041d-5b82-4d1d-adb8-2c50ae22e721-1&amp;pdp_ext_f=%7B%22order%22%3A%2214058%22%2C%22eval%22%3A%221%22%2C%22fromPage%22%3A%22search%22%7D&amp;pdp_npi=6%40dis%21CAD%212.04%211.99%21%21%211.46%211.42%21%40210328d417774091351247794e1c13%2110000013191635027%21sea%21CA%216218818596%21X%211%210%21n_tag%3A-29919%3Bd%3A26a99932%3Bm03_new_user%3A-29895&amp;curPageLogUid=Y5TAugc4ns7L&amp;utparam-url=scene%3Asearch%7Cquery_from%3A%7Cx_object_id%3A4000982209705%7C_p_origin_prod%3A</t>
  </si>
  <si>
    <t>https://www.aliexpress.com/item/1005005620966310.html?spm=a2g0o.cart.0.0.358a38dadNcuNR&amp;mp=1&amp;pdp_npi=6%40dis%21CAD%21CAD+0.38%21CAD+0.32%21%21CAD+0.32%21%21%21%402101eee917774109006605329ec0dc%2112000033776650718%21ct%21CA%216218818596%21%215%210%21</t>
  </si>
  <si>
    <t>GarageGuarde</t>
  </si>
  <si>
    <t>Voltage Regulator</t>
  </si>
  <si>
    <t>resistor</t>
  </si>
  <si>
    <t>100k</t>
  </si>
  <si>
    <t>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</si>
</sst>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>
    <font>
      <sz val="11"/>
      <color theme="1"/>
      <name val="Calibri"/>
      <family val="2"/>
      <scheme val="minor"/>
    </font>
    <font>
      <sz val="8"/>
      <color rgb="FF333333"/>
      <name val="Consolas"/>
      <family val="3"/>
    </font>
    <font>
      <u/>
      <sz val="11"/>
      <color theme="10"/>
      <name val="Calibri"/>
      <family val="2"/>
      <scheme val="minor"/>
    </font>
    <font>
      <b/>
      <sz val="9"/>
      <color rgb="FF000000"/>
      <name val="TT Norms Pro"/>
    </font>
    <font>
      <b/>
      <sz val="9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8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liexpress.com/ssr/300000512/BundleDeals2?spm=a2g0o.productlist.main.12.4bad23b2W0Z283&amp;productIds=1005007345095808:12000040354473755&amp;pha_manifest=ssr&amp;_immersiveMode=true&amp;disableNav=YES&amp;sourceName=SEARCHProduct&amp;utparam-url=scene%3Asearch%7Cquery_from%3A%7Cx_object_id%3A1005007345095808%7C_p_origin_prod%3A1005006953448721&amp;pvid=fead97a0-7013-472f-8f48-f34087dd6c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18" workbookViewId="0">
      <selection activeCell="D21" sqref="D21"/>
    </sheetView>
  </sheetViews>
  <sheetFormatPr defaultRowHeight="14.4"/>
  <cols>
    <col min="1" max="1" width="17.21875" customWidth="1"/>
    <col min="2" max="2" width="21.77734375" customWidth="1"/>
    <col min="3" max="3" width="8.5546875" customWidth="1"/>
    <col min="5" max="5" width="10.44140625" customWidth="1"/>
    <col min="6" max="6" width="9.6640625" customWidth="1"/>
  </cols>
  <sheetData>
    <row r="1" spans="1:9">
      <c r="A1" t="s">
        <v>0</v>
      </c>
      <c r="F1" s="1"/>
    </row>
    <row r="3" spans="1:9">
      <c r="A3" t="s">
        <v>4</v>
      </c>
      <c r="B3" t="s">
        <v>18</v>
      </c>
      <c r="C3" t="s">
        <v>5</v>
      </c>
      <c r="D3" t="s">
        <v>6</v>
      </c>
      <c r="E3" t="s">
        <v>9</v>
      </c>
      <c r="F3" t="s">
        <v>7</v>
      </c>
      <c r="G3" t="s">
        <v>9</v>
      </c>
      <c r="H3" t="s">
        <v>8</v>
      </c>
    </row>
    <row r="4" spans="1:9">
      <c r="A4" t="s">
        <v>10</v>
      </c>
      <c r="B4" s="1" t="s">
        <v>22</v>
      </c>
      <c r="D4">
        <v>1</v>
      </c>
      <c r="E4">
        <v>2.19</v>
      </c>
      <c r="F4" s="4" t="s">
        <v>23</v>
      </c>
      <c r="H4" s="3" t="s">
        <v>11</v>
      </c>
      <c r="I4" t="s">
        <v>17</v>
      </c>
    </row>
    <row r="5" spans="1:9">
      <c r="A5" t="s">
        <v>12</v>
      </c>
      <c r="B5" t="s">
        <v>24</v>
      </c>
      <c r="D5">
        <v>1</v>
      </c>
      <c r="E5">
        <v>3.99</v>
      </c>
      <c r="F5" t="s">
        <v>13</v>
      </c>
    </row>
    <row r="6" spans="1:9">
      <c r="A6" t="s">
        <v>1</v>
      </c>
      <c r="D6">
        <v>1</v>
      </c>
      <c r="E6" t="s">
        <v>25</v>
      </c>
      <c r="F6" t="s">
        <v>14</v>
      </c>
    </row>
    <row r="7" spans="1:9">
      <c r="A7" t="s">
        <v>2</v>
      </c>
    </row>
    <row r="8" spans="1:9">
      <c r="A8" t="s">
        <v>3</v>
      </c>
      <c r="D8">
        <v>1</v>
      </c>
      <c r="F8" t="s">
        <v>15</v>
      </c>
    </row>
    <row r="9" spans="1:9">
      <c r="A9" t="s">
        <v>16</v>
      </c>
      <c r="B9" t="s">
        <v>20</v>
      </c>
      <c r="D9">
        <v>1</v>
      </c>
      <c r="E9" s="2">
        <v>2.6</v>
      </c>
      <c r="F9" t="s">
        <v>21</v>
      </c>
    </row>
    <row r="10" spans="1:9">
      <c r="B10" t="s">
        <v>29</v>
      </c>
      <c r="E10" s="2">
        <v>6.19</v>
      </c>
      <c r="F10" s="5" t="s">
        <v>30</v>
      </c>
    </row>
    <row r="12" spans="1:9">
      <c r="A12" t="s">
        <v>19</v>
      </c>
      <c r="B12" t="s">
        <v>26</v>
      </c>
      <c r="E12">
        <v>9.98</v>
      </c>
      <c r="F12" t="s">
        <v>28</v>
      </c>
    </row>
    <row r="13" spans="1:9">
      <c r="A13" t="s">
        <v>27</v>
      </c>
    </row>
    <row r="15" spans="1:9">
      <c r="A15" t="s">
        <v>31</v>
      </c>
      <c r="E15">
        <v>3.3</v>
      </c>
      <c r="F15" s="5" t="s">
        <v>32</v>
      </c>
    </row>
    <row r="17" spans="1:7">
      <c r="A17" s="6" t="s">
        <v>33</v>
      </c>
      <c r="B17" s="6" t="s">
        <v>34</v>
      </c>
      <c r="C17" s="6" t="s">
        <v>35</v>
      </c>
      <c r="D17" s="6" t="s">
        <v>36</v>
      </c>
      <c r="E17" s="6" t="s">
        <v>46</v>
      </c>
      <c r="F17" s="6" t="s">
        <v>37</v>
      </c>
      <c r="G17" s="6" t="s">
        <v>7</v>
      </c>
    </row>
    <row r="18" spans="1:7">
      <c r="A18" t="s">
        <v>38</v>
      </c>
      <c r="B18" t="s">
        <v>39</v>
      </c>
      <c r="C18">
        <v>1</v>
      </c>
      <c r="D18" s="2">
        <v>6.14</v>
      </c>
      <c r="F18" s="2">
        <f>C18*D18</f>
        <v>6.14</v>
      </c>
      <c r="G18" t="s">
        <v>40</v>
      </c>
    </row>
    <row r="19" spans="1:7">
      <c r="A19" t="s">
        <v>10</v>
      </c>
      <c r="B19" t="s">
        <v>44</v>
      </c>
      <c r="C19">
        <v>1</v>
      </c>
      <c r="D19" s="2">
        <v>4.59</v>
      </c>
      <c r="F19" s="2">
        <f>C19*D19</f>
        <v>4.59</v>
      </c>
      <c r="G19" t="s">
        <v>45</v>
      </c>
    </row>
    <row r="20" spans="1:7">
      <c r="A20" t="s">
        <v>49</v>
      </c>
      <c r="B20" t="s">
        <v>50</v>
      </c>
      <c r="C20">
        <v>1</v>
      </c>
      <c r="D20">
        <v>3.46</v>
      </c>
      <c r="F20" s="2">
        <f t="shared" ref="F20:F33" si="0">C20*D20</f>
        <v>3.46</v>
      </c>
      <c r="G20" t="s">
        <v>51</v>
      </c>
    </row>
    <row r="21" spans="1:7">
      <c r="A21" t="s">
        <v>53</v>
      </c>
      <c r="B21" t="s">
        <v>52</v>
      </c>
      <c r="C21">
        <v>1</v>
      </c>
      <c r="D21">
        <v>2.79</v>
      </c>
      <c r="F21" s="2">
        <f t="shared" si="0"/>
        <v>2.79</v>
      </c>
      <c r="G21" t="s">
        <v>54</v>
      </c>
    </row>
    <row r="22" spans="1:7">
      <c r="A22" t="s">
        <v>55</v>
      </c>
      <c r="B22" t="s">
        <v>59</v>
      </c>
      <c r="C22">
        <v>1</v>
      </c>
      <c r="D22">
        <v>2.29</v>
      </c>
      <c r="F22" s="2">
        <v>2.29</v>
      </c>
      <c r="G22" t="s">
        <v>60</v>
      </c>
    </row>
    <row r="23" spans="1:7">
      <c r="F23" s="2"/>
    </row>
    <row r="24" spans="1:7">
      <c r="F24" s="2"/>
    </row>
    <row r="25" spans="1:7">
      <c r="A25" t="s">
        <v>41</v>
      </c>
      <c r="C25">
        <v>1</v>
      </c>
      <c r="D25" t="s">
        <v>25</v>
      </c>
      <c r="F25" s="2"/>
    </row>
    <row r="26" spans="1:7">
      <c r="A26" t="s">
        <v>43</v>
      </c>
      <c r="B26" t="s">
        <v>42</v>
      </c>
      <c r="C26">
        <v>1</v>
      </c>
      <c r="D26">
        <v>0.33</v>
      </c>
      <c r="E26">
        <v>7.48</v>
      </c>
      <c r="F26" s="2">
        <f>C26*D26+E26</f>
        <v>7.8100000000000005</v>
      </c>
      <c r="G26" t="s">
        <v>68</v>
      </c>
    </row>
    <row r="27" spans="1:7">
      <c r="A27" t="s">
        <v>70</v>
      </c>
      <c r="B27" t="s">
        <v>48</v>
      </c>
      <c r="C27">
        <v>1</v>
      </c>
      <c r="D27">
        <v>3.85</v>
      </c>
      <c r="F27" s="2">
        <f t="shared" si="0"/>
        <v>3.85</v>
      </c>
      <c r="G27" t="s">
        <v>47</v>
      </c>
    </row>
    <row r="28" spans="1:7">
      <c r="F28" s="2">
        <f t="shared" si="0"/>
        <v>0</v>
      </c>
    </row>
    <row r="29" spans="1:7">
      <c r="F29" s="2">
        <f t="shared" si="0"/>
        <v>0</v>
      </c>
    </row>
    <row r="30" spans="1:7">
      <c r="A30" t="s">
        <v>65</v>
      </c>
      <c r="B30" t="s">
        <v>66</v>
      </c>
      <c r="C30">
        <v>1</v>
      </c>
      <c r="D30">
        <v>2.79</v>
      </c>
      <c r="F30" s="2">
        <f t="shared" si="0"/>
        <v>2.79</v>
      </c>
      <c r="G30" t="s">
        <v>67</v>
      </c>
    </row>
    <row r="31" spans="1:7">
      <c r="A31" t="s">
        <v>71</v>
      </c>
      <c r="B31" t="s">
        <v>72</v>
      </c>
      <c r="C31">
        <v>1</v>
      </c>
      <c r="D31">
        <v>0</v>
      </c>
      <c r="F31" s="2">
        <f t="shared" si="0"/>
        <v>0</v>
      </c>
    </row>
    <row r="32" spans="1:7">
      <c r="A32" t="s">
        <v>71</v>
      </c>
      <c r="B32" t="s">
        <v>73</v>
      </c>
      <c r="C32">
        <v>1</v>
      </c>
      <c r="D32">
        <v>0</v>
      </c>
      <c r="F32" s="2">
        <f t="shared" si="0"/>
        <v>0</v>
      </c>
    </row>
    <row r="33" spans="1:7">
      <c r="A33" t="s">
        <v>56</v>
      </c>
      <c r="B33" t="s">
        <v>57</v>
      </c>
      <c r="C33">
        <v>1</v>
      </c>
      <c r="D33">
        <v>5.19</v>
      </c>
      <c r="F33" s="2">
        <f t="shared" si="0"/>
        <v>5.19</v>
      </c>
      <c r="G33" t="s">
        <v>58</v>
      </c>
    </row>
    <row r="35" spans="1:7">
      <c r="A35" t="s">
        <v>61</v>
      </c>
      <c r="F35" s="2">
        <f>SUM(F18:F33)</f>
        <v>38.909999999999997</v>
      </c>
    </row>
    <row r="37" spans="1:7">
      <c r="A37" s="6" t="s">
        <v>69</v>
      </c>
    </row>
    <row r="38" spans="1:7">
      <c r="A38" t="s">
        <v>62</v>
      </c>
      <c r="B38" t="s">
        <v>63</v>
      </c>
      <c r="C38">
        <v>1</v>
      </c>
      <c r="D38">
        <v>2.71</v>
      </c>
      <c r="F38">
        <f>D38*C38</f>
        <v>2.71</v>
      </c>
      <c r="G38" t="s">
        <v>64</v>
      </c>
    </row>
    <row r="39" spans="1:7">
      <c r="A39" t="s">
        <v>53</v>
      </c>
      <c r="B39" t="s">
        <v>52</v>
      </c>
      <c r="C39">
        <v>1</v>
      </c>
      <c r="D39">
        <v>0</v>
      </c>
      <c r="F39">
        <f>D39*C39</f>
        <v>0</v>
      </c>
    </row>
    <row r="41" spans="1:7">
      <c r="A41" t="s">
        <v>38</v>
      </c>
      <c r="B41" t="s">
        <v>39</v>
      </c>
      <c r="C41">
        <v>1</v>
      </c>
      <c r="D41" s="2">
        <v>6.14</v>
      </c>
      <c r="F41" s="2">
        <f>C41*D41</f>
        <v>6.14</v>
      </c>
      <c r="G41" t="s">
        <v>40</v>
      </c>
    </row>
    <row r="42" spans="1:7">
      <c r="A42" t="s">
        <v>41</v>
      </c>
      <c r="C42">
        <v>1</v>
      </c>
      <c r="D42" t="s">
        <v>25</v>
      </c>
      <c r="F42" s="2"/>
    </row>
    <row r="43" spans="1:7">
      <c r="A43" t="s">
        <v>43</v>
      </c>
      <c r="B43" t="s">
        <v>42</v>
      </c>
      <c r="C43">
        <v>1</v>
      </c>
      <c r="D43">
        <v>0.33</v>
      </c>
      <c r="E43" t="s">
        <v>25</v>
      </c>
      <c r="F43" s="2">
        <f>C43*D43</f>
        <v>0.33</v>
      </c>
      <c r="G43" t="s">
        <v>68</v>
      </c>
    </row>
    <row r="44" spans="1:7">
      <c r="A44" t="s">
        <v>70</v>
      </c>
      <c r="B44" t="s">
        <v>48</v>
      </c>
      <c r="C44">
        <v>1</v>
      </c>
      <c r="D44">
        <v>3.85</v>
      </c>
      <c r="F44" s="2">
        <f>C44*D44</f>
        <v>3.85</v>
      </c>
      <c r="G44" t="s">
        <v>47</v>
      </c>
    </row>
    <row r="46" spans="1:7">
      <c r="A46" t="s">
        <v>65</v>
      </c>
      <c r="B46" t="s">
        <v>66</v>
      </c>
      <c r="C46">
        <v>1</v>
      </c>
      <c r="D46">
        <v>0</v>
      </c>
      <c r="F46" s="2">
        <f t="shared" ref="F46" si="1">C46*D46</f>
        <v>0</v>
      </c>
      <c r="G46" t="s">
        <v>67</v>
      </c>
    </row>
    <row r="47" spans="1:7">
      <c r="A47" t="s">
        <v>56</v>
      </c>
      <c r="B47" t="s">
        <v>57</v>
      </c>
      <c r="C47">
        <v>1</v>
      </c>
      <c r="D47">
        <v>0</v>
      </c>
      <c r="F47" s="2">
        <v>0</v>
      </c>
      <c r="G47" t="s">
        <v>58</v>
      </c>
    </row>
    <row r="49" spans="6:6">
      <c r="F49" s="2">
        <f>F35+SUM(F38:F46)</f>
        <v>51.94</v>
      </c>
    </row>
  </sheetData>
  <hyperlinks>
    <hyperlink ref="H4" r:id="rId1" display="https://www.aliexpress.com/ssr/300000512/BundleDeals2?spm=a2g0o.productlist.main.12.4bad23b2W0Z283&amp;productIds=1005007345095808:12000040354473755&amp;pha_manifest=ssr&amp;_immersiveMode=true&amp;disableNav=YES&amp;sourceName=SEARCHProduct&amp;utparam-url=scene%3Asearch%7Cquery_from%3A%7Cx_object_id%3A1005007345095808%7C_p_origin_prod%3A1005006953448721&amp;pvid=fead97a0-7013-472f-8f48-f34087dd6ca8" xr:uid="{8188D1EC-FE01-445E-8168-1909B737FBE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L</dc:creator>
  <cp:lastModifiedBy>ANNIE LIANG</cp:lastModifiedBy>
  <dcterms:created xsi:type="dcterms:W3CDTF">2015-06-05T18:17:20Z</dcterms:created>
  <dcterms:modified xsi:type="dcterms:W3CDTF">2026-05-08T22:12:07Z</dcterms:modified>
</cp:coreProperties>
</file>